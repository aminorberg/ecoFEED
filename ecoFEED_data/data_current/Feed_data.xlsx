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elsinkifi-my.sharepoint.com/personal/karikopp_ad_helsinki_fi/Documents/jatkot/HY_WUR/Projects/SustAnimal/Aineisto_livestock_system/ecoFEED_data/data_shared/"/>
    </mc:Choice>
  </mc:AlternateContent>
  <xr:revisionPtr revIDLastSave="119" documentId="8_{43AF0BA1-FD67-4FCD-85FF-3BBE6A7DF1F7}" xr6:coauthVersionLast="47" xr6:coauthVersionMax="47" xr10:uidLastSave="{0E3E44C1-8F3D-4B88-8090-FC1E5C1AD5DC}"/>
  <bookViews>
    <workbookView xWindow="28680" yWindow="-120" windowWidth="29040" windowHeight="17520" xr2:uid="{00000000-000D-0000-FFFF-FFFF00000000}"/>
  </bookViews>
  <sheets>
    <sheet name="Sheet1" sheetId="2" r:id="rId1"/>
    <sheet name="Sheet3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2" l="1"/>
  <c r="G22" i="2" s="1"/>
  <c r="F21" i="2"/>
  <c r="G21" i="2" s="1"/>
  <c r="F20" i="2"/>
  <c r="G20" i="2" s="1"/>
  <c r="I2" i="2"/>
  <c r="G7" i="2"/>
  <c r="G12" i="2"/>
  <c r="G13" i="2"/>
  <c r="G14" i="2"/>
  <c r="F3" i="2"/>
  <c r="G3" i="2" s="1"/>
  <c r="F4" i="2"/>
  <c r="G4" i="2" s="1"/>
  <c r="F5" i="2"/>
  <c r="G5" i="2" s="1"/>
  <c r="F6" i="2"/>
  <c r="G6" i="2" s="1"/>
  <c r="F7" i="2"/>
  <c r="F8" i="2"/>
  <c r="G8" i="2" s="1"/>
  <c r="F9" i="2"/>
  <c r="G9" i="2" s="1"/>
  <c r="F10" i="2"/>
  <c r="G10" i="2" s="1"/>
  <c r="F11" i="2"/>
  <c r="G11" i="2" s="1"/>
  <c r="F12" i="2"/>
  <c r="F13" i="2"/>
  <c r="F14" i="2"/>
  <c r="F15" i="2"/>
  <c r="G15" i="2" s="1"/>
  <c r="F16" i="2"/>
  <c r="G16" i="2" s="1"/>
  <c r="F17" i="2"/>
  <c r="G17" i="2" s="1"/>
  <c r="F18" i="2"/>
  <c r="G18" i="2" s="1"/>
  <c r="F19" i="2"/>
  <c r="G19" i="2" s="1"/>
  <c r="F2" i="2"/>
  <c r="G2" i="2" s="1"/>
</calcChain>
</file>

<file path=xl/sharedStrings.xml><?xml version="1.0" encoding="utf-8"?>
<sst xmlns="http://schemas.openxmlformats.org/spreadsheetml/2006/main" count="50" uniqueCount="50">
  <si>
    <t>Feed</t>
  </si>
  <si>
    <t>DM  g/kg</t>
  </si>
  <si>
    <t>ME MJ/kg DM</t>
  </si>
  <si>
    <t>CP g/kg DM</t>
  </si>
  <si>
    <t>N g/kg DM</t>
  </si>
  <si>
    <t>N factor</t>
  </si>
  <si>
    <t>P g/kg DM</t>
  </si>
  <si>
    <t>P factor</t>
  </si>
  <si>
    <t>Land use</t>
  </si>
  <si>
    <t>7002 Grass silage, average/early 1st cut, DM 200-500 g/kg</t>
  </si>
  <si>
    <t>7028 Red clover (25%) silage, normal 1st cut, DM 200-500 g/kg</t>
  </si>
  <si>
    <t>1002 Barley, 60 - 64 kg/hl</t>
  </si>
  <si>
    <t>1012 Oats, 54 - 58 kg/hl</t>
  </si>
  <si>
    <t>1031 Wheat, 76 - 80 kg/hl</t>
  </si>
  <si>
    <t>1041 Rye</t>
  </si>
  <si>
    <t>1071 Pea, seed</t>
  </si>
  <si>
    <t>1072 Faba bean, seed</t>
  </si>
  <si>
    <t>1081 Rapeseed (Brassica napus)</t>
  </si>
  <si>
    <t>1082 Rapeseed (Brassica rapa subsp. Oleifera)</t>
  </si>
  <si>
    <t>1083 Flax, seed</t>
  </si>
  <si>
    <t>1086 Hemp, seed</t>
  </si>
  <si>
    <t>2002 Rapeseed meal</t>
  </si>
  <si>
    <t>2023 Flax meal</t>
  </si>
  <si>
    <t>2024 Hemp seed expeller, cold pressed</t>
  </si>
  <si>
    <t>4018 Whey protein meal, 75 % CP</t>
  </si>
  <si>
    <t>3034 BSG</t>
  </si>
  <si>
    <t>90021 Vegetable oil</t>
  </si>
  <si>
    <t>3049 Barley protein</t>
  </si>
  <si>
    <t>Industrial byproducts</t>
  </si>
  <si>
    <t>Feed,DM  g/kg,ME MJ/kg DM,CP g/kg DM,N g/kg DM,N factor,P g/kg DM,P factor,Land use</t>
  </si>
  <si>
    <t>Grass silage,350,11,160,25.6,0.0256,3.2,0.0032,1</t>
  </si>
  <si>
    <t>Red clover (25%) silage,350,10.2,150,24,0.024,2.5,0.0025,1</t>
  </si>
  <si>
    <t>Barley,860,13.1,119,19.04,0.01904,3.6,0.0025,1</t>
  </si>
  <si>
    <t>Oats,860,12.1,127,20.32,0.02032,3.5,0.0025,1</t>
  </si>
  <si>
    <t>Wheat,860,13.6,133,21.28,0.02128,3.7,0.0025,1</t>
  </si>
  <si>
    <t>Rye,860,13.6,110,17.6,0.0176,3.9,0.0025,1</t>
  </si>
  <si>
    <t>Pea,860,13.3,230,36.8,0.0368,4,0.0025,1</t>
  </si>
  <si>
    <t>Faba bean,860,12.8,300,48,0.048,5.7,0.0025,1</t>
  </si>
  <si>
    <t>Rapeseed (Brassica napus),920,19.8,240,38.4,0.0384,9.4,0.0025,1</t>
  </si>
  <si>
    <t>Rapeseed (Brassica rapa subsp. Oleifera),920,19,235,37.6,0.0376,9.4,0.0025,1</t>
  </si>
  <si>
    <t>Flax,920,18.6,250,40,0.04,6.1,0.0025,1</t>
  </si>
  <si>
    <t>Hemp,920,15.5,260,41.6,0.0416,10.5,0.0025,1</t>
  </si>
  <si>
    <t>Rapeseed meal,890,11.4,379,60.64,0.06064,13.2,0.0025,0.6</t>
  </si>
  <si>
    <t>Flax meal,900,11.4,390,62.4,0.0624,8.9,0.0025,0.6</t>
  </si>
  <si>
    <t>Hemp seed expeller,920,11.7,350,56,0.056,10.5,0.0025,0.766</t>
  </si>
  <si>
    <t>Whey protein meal (75 % CP),940,13.02,745,119.2,0.1192,3.6,0.0025,0</t>
  </si>
  <si>
    <t>BSG,220,10.7,230,36.8,0.0368,3.5,0.0025,0</t>
  </si>
  <si>
    <t>Vegetable oil,1,32.5,0,0,0,0,0.0025,1</t>
  </si>
  <si>
    <t>Liquid feed</t>
  </si>
  <si>
    <t>GE MJ/kg 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</si>
</sst>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K27" sqref="K27"/>
    </sheetView>
  </sheetViews>
  <sheetFormatPr defaultRowHeight="14.5" x14ac:dyDescent="0.35"/>
  <cols>
    <col min="1" max="1" width="29.26953125" customWidth="1"/>
    <col min="2" max="2" width="9.81640625" customWidth="1"/>
    <col min="3" max="3" width="12.1796875" customWidth="1"/>
    <col min="4" max="4" width="11.7265625" customWidth="1"/>
    <col min="5" max="6" width="12.54296875" customWidth="1"/>
  </cols>
  <sheetData>
    <row r="1" spans="1:10" x14ac:dyDescent="0.35">
      <c r="A1" t="s">
        <v>0</v>
      </c>
      <c r="B1" t="s">
        <v>1</v>
      </c>
      <c r="C1" t="s">
        <v>49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9</v>
      </c>
      <c r="B2" s="1">
        <v>350</v>
      </c>
      <c r="C2" s="2">
        <v>18.2</v>
      </c>
      <c r="D2" s="2">
        <v>11</v>
      </c>
      <c r="E2" s="1">
        <v>160</v>
      </c>
      <c r="F2" s="4">
        <f>E2/6.25</f>
        <v>25.6</v>
      </c>
      <c r="G2">
        <f>F2/1000</f>
        <v>2.5600000000000001E-2</v>
      </c>
      <c r="H2">
        <v>3.2</v>
      </c>
      <c r="I2" s="3">
        <f>H2/1000</f>
        <v>3.2000000000000002E-3</v>
      </c>
      <c r="J2">
        <v>1</v>
      </c>
    </row>
    <row r="3" spans="1:10" x14ac:dyDescent="0.35">
      <c r="A3" t="s">
        <v>10</v>
      </c>
      <c r="B3" s="1">
        <v>350</v>
      </c>
      <c r="C3" s="2">
        <v>18.399999999999999</v>
      </c>
      <c r="D3" s="2">
        <v>10.199999999999999</v>
      </c>
      <c r="E3" s="1">
        <v>150</v>
      </c>
      <c r="F3" s="4">
        <f t="shared" ref="F3:F22" si="0">E3/6.25</f>
        <v>24</v>
      </c>
      <c r="G3">
        <f t="shared" ref="G3:G19" si="1">F3/1000</f>
        <v>2.4E-2</v>
      </c>
      <c r="H3">
        <v>2.5</v>
      </c>
      <c r="I3" s="3">
        <v>2.5000000000000001E-3</v>
      </c>
      <c r="J3">
        <v>1</v>
      </c>
    </row>
    <row r="4" spans="1:10" x14ac:dyDescent="0.35">
      <c r="A4" t="s">
        <v>11</v>
      </c>
      <c r="B4" s="1">
        <v>860</v>
      </c>
      <c r="C4" s="2">
        <v>18.399999999999999</v>
      </c>
      <c r="D4" s="2">
        <v>13.1</v>
      </c>
      <c r="E4" s="1">
        <v>119</v>
      </c>
      <c r="F4" s="4">
        <f t="shared" si="0"/>
        <v>19.04</v>
      </c>
      <c r="G4">
        <f t="shared" si="1"/>
        <v>1.9039999999999998E-2</v>
      </c>
      <c r="H4">
        <v>3.6</v>
      </c>
      <c r="I4" s="3">
        <v>2.5000000000000001E-3</v>
      </c>
      <c r="J4">
        <v>1</v>
      </c>
    </row>
    <row r="5" spans="1:10" x14ac:dyDescent="0.35">
      <c r="A5" t="s">
        <v>12</v>
      </c>
      <c r="B5" s="1">
        <v>860</v>
      </c>
      <c r="C5" s="2">
        <v>19.5</v>
      </c>
      <c r="D5" s="2">
        <v>12.1</v>
      </c>
      <c r="E5" s="1">
        <v>127</v>
      </c>
      <c r="F5" s="4">
        <f t="shared" si="0"/>
        <v>20.32</v>
      </c>
      <c r="G5">
        <f t="shared" si="1"/>
        <v>2.0320000000000001E-2</v>
      </c>
      <c r="H5">
        <v>3.5</v>
      </c>
      <c r="I5" s="3">
        <v>2.5000000000000001E-3</v>
      </c>
      <c r="J5">
        <v>1</v>
      </c>
    </row>
    <row r="6" spans="1:10" x14ac:dyDescent="0.35">
      <c r="A6" t="s">
        <v>13</v>
      </c>
      <c r="B6" s="1">
        <v>860</v>
      </c>
      <c r="C6" s="2">
        <v>18.2</v>
      </c>
      <c r="D6" s="2">
        <v>13.6</v>
      </c>
      <c r="E6" s="1">
        <v>133</v>
      </c>
      <c r="F6" s="4">
        <f t="shared" si="0"/>
        <v>21.28</v>
      </c>
      <c r="G6">
        <f t="shared" si="1"/>
        <v>2.128E-2</v>
      </c>
      <c r="H6">
        <v>3.7</v>
      </c>
      <c r="I6" s="3">
        <v>2.5000000000000001E-3</v>
      </c>
      <c r="J6">
        <v>1</v>
      </c>
    </row>
    <row r="7" spans="1:10" x14ac:dyDescent="0.35">
      <c r="A7" t="s">
        <v>14</v>
      </c>
      <c r="B7" s="1">
        <v>860</v>
      </c>
      <c r="C7" s="2">
        <v>18</v>
      </c>
      <c r="D7" s="2">
        <v>13.6</v>
      </c>
      <c r="E7" s="1">
        <v>110</v>
      </c>
      <c r="F7" s="4">
        <f t="shared" si="0"/>
        <v>17.600000000000001</v>
      </c>
      <c r="G7">
        <f t="shared" si="1"/>
        <v>1.7600000000000001E-2</v>
      </c>
      <c r="H7">
        <v>3.9</v>
      </c>
      <c r="I7" s="3">
        <v>2.5000000000000001E-3</v>
      </c>
      <c r="J7">
        <v>1</v>
      </c>
    </row>
    <row r="8" spans="1:10" x14ac:dyDescent="0.35">
      <c r="A8" t="s">
        <v>15</v>
      </c>
      <c r="B8" s="1">
        <v>860</v>
      </c>
      <c r="C8" s="2">
        <v>18.3</v>
      </c>
      <c r="D8" s="2">
        <v>13.3</v>
      </c>
      <c r="E8" s="1">
        <v>230</v>
      </c>
      <c r="F8" s="4">
        <f t="shared" si="0"/>
        <v>36.799999999999997</v>
      </c>
      <c r="G8">
        <f t="shared" si="1"/>
        <v>3.6799999999999999E-2</v>
      </c>
      <c r="H8">
        <v>4</v>
      </c>
      <c r="I8" s="3">
        <v>2.5000000000000001E-3</v>
      </c>
      <c r="J8">
        <v>1</v>
      </c>
    </row>
    <row r="9" spans="1:10" x14ac:dyDescent="0.35">
      <c r="A9" t="s">
        <v>16</v>
      </c>
      <c r="B9" s="1">
        <v>860</v>
      </c>
      <c r="C9" s="2">
        <v>18.7</v>
      </c>
      <c r="D9" s="2">
        <v>12.8</v>
      </c>
      <c r="E9" s="1">
        <v>300</v>
      </c>
      <c r="F9" s="4">
        <f t="shared" si="0"/>
        <v>48</v>
      </c>
      <c r="G9">
        <f t="shared" si="1"/>
        <v>4.8000000000000001E-2</v>
      </c>
      <c r="H9">
        <v>5.7</v>
      </c>
      <c r="I9" s="3">
        <v>2.5000000000000001E-3</v>
      </c>
      <c r="J9">
        <v>1</v>
      </c>
    </row>
    <row r="10" spans="1:10" x14ac:dyDescent="0.35">
      <c r="A10" t="s">
        <v>17</v>
      </c>
      <c r="B10" s="1">
        <v>920</v>
      </c>
      <c r="C10" s="2">
        <v>19.3</v>
      </c>
      <c r="D10" s="2">
        <v>19.8</v>
      </c>
      <c r="E10" s="1">
        <v>240</v>
      </c>
      <c r="F10" s="4">
        <f t="shared" si="0"/>
        <v>38.4</v>
      </c>
      <c r="G10">
        <f t="shared" si="1"/>
        <v>3.8399999999999997E-2</v>
      </c>
      <c r="H10">
        <v>9.4</v>
      </c>
      <c r="I10" s="3">
        <v>2.5000000000000001E-3</v>
      </c>
      <c r="J10">
        <v>1</v>
      </c>
    </row>
    <row r="11" spans="1:10" x14ac:dyDescent="0.35">
      <c r="A11" t="s">
        <v>18</v>
      </c>
      <c r="B11" s="1">
        <v>920</v>
      </c>
      <c r="C11" s="2">
        <v>19.3</v>
      </c>
      <c r="D11" s="2">
        <v>19</v>
      </c>
      <c r="E11" s="1">
        <v>235</v>
      </c>
      <c r="F11" s="4">
        <f t="shared" si="0"/>
        <v>37.6</v>
      </c>
      <c r="G11">
        <f t="shared" si="1"/>
        <v>3.7600000000000001E-2</v>
      </c>
      <c r="H11">
        <v>9.4</v>
      </c>
      <c r="I11" s="3">
        <v>2.5000000000000001E-3</v>
      </c>
      <c r="J11">
        <v>1</v>
      </c>
    </row>
    <row r="12" spans="1:10" x14ac:dyDescent="0.35">
      <c r="A12" t="s">
        <v>19</v>
      </c>
      <c r="B12" s="1">
        <v>920</v>
      </c>
      <c r="C12" s="2">
        <v>22.1</v>
      </c>
      <c r="D12" s="2">
        <v>18.600000000000001</v>
      </c>
      <c r="E12" s="1">
        <v>250</v>
      </c>
      <c r="F12" s="4">
        <f t="shared" si="0"/>
        <v>40</v>
      </c>
      <c r="G12">
        <f t="shared" si="1"/>
        <v>0.04</v>
      </c>
      <c r="H12">
        <v>6.1</v>
      </c>
      <c r="I12" s="3">
        <v>2.5000000000000001E-3</v>
      </c>
      <c r="J12">
        <v>1</v>
      </c>
    </row>
    <row r="13" spans="1:10" x14ac:dyDescent="0.35">
      <c r="A13" t="s">
        <v>20</v>
      </c>
      <c r="B13" s="1">
        <v>920</v>
      </c>
      <c r="C13" s="2">
        <v>26.2</v>
      </c>
      <c r="D13" s="2">
        <v>15.5</v>
      </c>
      <c r="E13" s="1">
        <v>260</v>
      </c>
      <c r="F13" s="4">
        <f t="shared" si="0"/>
        <v>41.6</v>
      </c>
      <c r="G13">
        <f t="shared" si="1"/>
        <v>4.1599999999999998E-2</v>
      </c>
      <c r="H13">
        <v>10.5</v>
      </c>
      <c r="I13" s="3">
        <v>2.5000000000000001E-3</v>
      </c>
      <c r="J13">
        <v>1</v>
      </c>
    </row>
    <row r="14" spans="1:10" x14ac:dyDescent="0.35">
      <c r="A14" t="s">
        <v>21</v>
      </c>
      <c r="B14" s="1">
        <v>890</v>
      </c>
      <c r="C14" s="2">
        <v>19.3</v>
      </c>
      <c r="D14" s="2">
        <v>11.4</v>
      </c>
      <c r="E14" s="1">
        <v>379</v>
      </c>
      <c r="F14" s="4">
        <f t="shared" si="0"/>
        <v>60.64</v>
      </c>
      <c r="G14">
        <f t="shared" si="1"/>
        <v>6.0639999999999999E-2</v>
      </c>
      <c r="H14">
        <v>13.2</v>
      </c>
      <c r="I14" s="3">
        <v>2.5000000000000001E-3</v>
      </c>
      <c r="J14">
        <v>0.6</v>
      </c>
    </row>
    <row r="15" spans="1:10" x14ac:dyDescent="0.35">
      <c r="A15" t="s">
        <v>22</v>
      </c>
      <c r="B15" s="1">
        <v>900</v>
      </c>
      <c r="C15" s="2">
        <v>22.1</v>
      </c>
      <c r="D15" s="2">
        <v>11.4</v>
      </c>
      <c r="E15" s="1">
        <v>390</v>
      </c>
      <c r="F15" s="4">
        <f t="shared" si="0"/>
        <v>62.4</v>
      </c>
      <c r="G15">
        <f t="shared" si="1"/>
        <v>6.2399999999999997E-2</v>
      </c>
      <c r="H15">
        <v>8.9</v>
      </c>
      <c r="I15" s="3">
        <v>2.5000000000000001E-3</v>
      </c>
      <c r="J15">
        <v>0.6</v>
      </c>
    </row>
    <row r="16" spans="1:10" x14ac:dyDescent="0.35">
      <c r="A16" t="s">
        <v>23</v>
      </c>
      <c r="B16" s="1">
        <v>920</v>
      </c>
      <c r="C16" s="2">
        <v>21.6</v>
      </c>
      <c r="D16" s="2">
        <v>11.7</v>
      </c>
      <c r="E16" s="1">
        <v>350</v>
      </c>
      <c r="F16" s="4">
        <f t="shared" si="0"/>
        <v>56</v>
      </c>
      <c r="G16">
        <f t="shared" si="1"/>
        <v>5.6000000000000001E-2</v>
      </c>
      <c r="H16">
        <v>10.5</v>
      </c>
      <c r="I16" s="3">
        <v>2.5000000000000001E-3</v>
      </c>
      <c r="J16">
        <v>0.76600000000000001</v>
      </c>
    </row>
    <row r="17" spans="1:10" x14ac:dyDescent="0.35">
      <c r="A17" t="s">
        <v>24</v>
      </c>
      <c r="B17" s="1">
        <v>940</v>
      </c>
      <c r="C17" s="2">
        <v>16.100000000000001</v>
      </c>
      <c r="D17" s="2">
        <v>13.02</v>
      </c>
      <c r="E17" s="1">
        <v>745</v>
      </c>
      <c r="F17" s="4">
        <f t="shared" si="0"/>
        <v>119.2</v>
      </c>
      <c r="G17">
        <f t="shared" si="1"/>
        <v>0.1192</v>
      </c>
      <c r="H17">
        <v>3.6</v>
      </c>
      <c r="I17" s="3">
        <v>2.5000000000000001E-3</v>
      </c>
      <c r="J17">
        <v>0</v>
      </c>
    </row>
    <row r="18" spans="1:10" x14ac:dyDescent="0.35">
      <c r="A18" t="s">
        <v>25</v>
      </c>
      <c r="B18" s="1">
        <v>220</v>
      </c>
      <c r="C18" s="2">
        <v>19.7</v>
      </c>
      <c r="D18" s="2">
        <v>10.7</v>
      </c>
      <c r="E18" s="1">
        <v>230</v>
      </c>
      <c r="F18" s="4">
        <f t="shared" si="0"/>
        <v>36.799999999999997</v>
      </c>
      <c r="G18">
        <f t="shared" si="1"/>
        <v>3.6799999999999999E-2</v>
      </c>
      <c r="H18">
        <v>3.5</v>
      </c>
      <c r="I18" s="3">
        <v>2.5000000000000001E-3</v>
      </c>
      <c r="J18">
        <v>0</v>
      </c>
    </row>
    <row r="19" spans="1:10" x14ac:dyDescent="0.35">
      <c r="A19" t="s">
        <v>26</v>
      </c>
      <c r="B19" s="1">
        <v>1</v>
      </c>
      <c r="C19" s="2">
        <v>28.8</v>
      </c>
      <c r="D19" s="2">
        <v>32.5</v>
      </c>
      <c r="E19" s="1">
        <v>0</v>
      </c>
      <c r="F19" s="4">
        <f t="shared" si="0"/>
        <v>0</v>
      </c>
      <c r="G19">
        <f t="shared" si="1"/>
        <v>0</v>
      </c>
      <c r="H19">
        <v>0</v>
      </c>
      <c r="I19" s="3">
        <v>2.5000000000000001E-3</v>
      </c>
      <c r="J19">
        <v>1</v>
      </c>
    </row>
    <row r="20" spans="1:10" x14ac:dyDescent="0.35">
      <c r="A20" t="s">
        <v>27</v>
      </c>
      <c r="B20" s="1">
        <v>222</v>
      </c>
      <c r="C20" s="2">
        <v>21.5</v>
      </c>
      <c r="D20" s="2">
        <v>11.97</v>
      </c>
      <c r="E20" s="1">
        <v>277</v>
      </c>
      <c r="F20" s="4">
        <f t="shared" si="0"/>
        <v>44.32</v>
      </c>
      <c r="G20">
        <f>F20/1000</f>
        <v>4.4319999999999998E-2</v>
      </c>
      <c r="H20">
        <v>3.3</v>
      </c>
      <c r="I20" s="3">
        <v>3.3000000000000002E-2</v>
      </c>
      <c r="J20">
        <v>0</v>
      </c>
    </row>
    <row r="21" spans="1:10" x14ac:dyDescent="0.35">
      <c r="A21" t="s">
        <v>28</v>
      </c>
      <c r="B21" s="1">
        <v>770</v>
      </c>
      <c r="C21" s="2">
        <v>18.399999999999999</v>
      </c>
      <c r="D21" s="2">
        <v>12.7</v>
      </c>
      <c r="E21" s="1">
        <v>150</v>
      </c>
      <c r="F21" s="4">
        <f t="shared" si="0"/>
        <v>24</v>
      </c>
      <c r="G21">
        <f>F21/1000</f>
        <v>2.4E-2</v>
      </c>
      <c r="H21">
        <v>4</v>
      </c>
      <c r="I21" s="3">
        <v>4.0000000000000001E-3</v>
      </c>
      <c r="J21">
        <v>0</v>
      </c>
    </row>
    <row r="22" spans="1:10" x14ac:dyDescent="0.35">
      <c r="A22" t="s">
        <v>48</v>
      </c>
      <c r="B22" s="1">
        <v>100</v>
      </c>
      <c r="C22" s="2">
        <v>16.100000000000001</v>
      </c>
      <c r="D22" s="2">
        <v>18</v>
      </c>
      <c r="E22" s="1">
        <v>210</v>
      </c>
      <c r="F22" s="4">
        <f t="shared" si="0"/>
        <v>33.6</v>
      </c>
      <c r="G22">
        <f>F22/1000</f>
        <v>3.3600000000000005E-2</v>
      </c>
      <c r="H22">
        <v>6.2</v>
      </c>
      <c r="I22" s="3">
        <v>6.1999999999999998E-3</v>
      </c>
      <c r="J22">
        <v>0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F1592-409E-40A4-A37E-176026C3D286}">
  <dimension ref="A1:A19"/>
  <sheetViews>
    <sheetView workbookViewId="0">
      <selection activeCell="G33" sqref="G33"/>
    </sheetView>
  </sheetViews>
  <sheetFormatPr defaultRowHeight="14.5" x14ac:dyDescent="0.35"/>
  <sheetData>
    <row r="1" spans="1:1" x14ac:dyDescent="0.35">
      <c r="A1" t="s">
        <v>29</v>
      </c>
    </row>
    <row r="2" spans="1:1" x14ac:dyDescent="0.35">
      <c r="A2" t="s">
        <v>30</v>
      </c>
    </row>
    <row r="3" spans="1:1" x14ac:dyDescent="0.35">
      <c r="A3" t="s">
        <v>31</v>
      </c>
    </row>
    <row r="4" spans="1:1" x14ac:dyDescent="0.35">
      <c r="A4" t="s">
        <v>32</v>
      </c>
    </row>
    <row r="5" spans="1:1" x14ac:dyDescent="0.35">
      <c r="A5" t="s">
        <v>33</v>
      </c>
    </row>
    <row r="6" spans="1:1" x14ac:dyDescent="0.35">
      <c r="A6" t="s">
        <v>34</v>
      </c>
    </row>
    <row r="7" spans="1:1" x14ac:dyDescent="0.35">
      <c r="A7" t="s">
        <v>35</v>
      </c>
    </row>
    <row r="8" spans="1:1" x14ac:dyDescent="0.35">
      <c r="A8" t="s">
        <v>36</v>
      </c>
    </row>
    <row r="9" spans="1:1" x14ac:dyDescent="0.35">
      <c r="A9" t="s">
        <v>37</v>
      </c>
    </row>
    <row r="10" spans="1:1" x14ac:dyDescent="0.35">
      <c r="A10" t="s">
        <v>38</v>
      </c>
    </row>
    <row r="11" spans="1:1" x14ac:dyDescent="0.35">
      <c r="A11" t="s">
        <v>39</v>
      </c>
    </row>
    <row r="12" spans="1:1" x14ac:dyDescent="0.35">
      <c r="A12" t="s">
        <v>40</v>
      </c>
    </row>
    <row r="13" spans="1:1" x14ac:dyDescent="0.35">
      <c r="A13" t="s">
        <v>41</v>
      </c>
    </row>
    <row r="14" spans="1:1" x14ac:dyDescent="0.35">
      <c r="A14" t="s">
        <v>42</v>
      </c>
    </row>
    <row r="15" spans="1:1" x14ac:dyDescent="0.35">
      <c r="A15" t="s">
        <v>43</v>
      </c>
    </row>
    <row r="16" spans="1:1" x14ac:dyDescent="0.35">
      <c r="A16" t="s">
        <v>44</v>
      </c>
    </row>
    <row r="17" spans="1:1" x14ac:dyDescent="0.35">
      <c r="A17" t="s">
        <v>45</v>
      </c>
    </row>
    <row r="18" spans="1:1" x14ac:dyDescent="0.35">
      <c r="A18" t="s">
        <v>46</v>
      </c>
    </row>
    <row r="19" spans="1:1" x14ac:dyDescent="0.35">
      <c r="A1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Koppelmäki, Kari V</cp:lastModifiedBy>
  <cp:revision/>
  <dcterms:created xsi:type="dcterms:W3CDTF">2025-10-10T07:02:44Z</dcterms:created>
  <dcterms:modified xsi:type="dcterms:W3CDTF">2026-05-04T07:15:52Z</dcterms:modified>
  <cp:category/>
  <cp:contentStatus/>
</cp:coreProperties>
</file>